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laude_code_project\PortfolioM\"/>
    </mc:Choice>
  </mc:AlternateContent>
  <xr:revisionPtr revIDLastSave="0" documentId="13_ncr:1_{66265264-FACF-48B8-957B-4F313649DF5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持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3" i="1"/>
</calcChain>
</file>

<file path=xl/sharedStrings.xml><?xml version="1.0" encoding="utf-8"?>
<sst xmlns="http://schemas.openxmlformats.org/spreadsheetml/2006/main" count="132" uniqueCount="107">
  <si>
    <t>持仓明细</t>
  </si>
  <si>
    <t>证券代码</t>
  </si>
  <si>
    <t>证券名称</t>
  </si>
  <si>
    <t>持仓数量</t>
  </si>
  <si>
    <t>006829.OF</t>
  </si>
  <si>
    <t>鹏扬利沣短债A</t>
  </si>
  <si>
    <t>472421.76</t>
  </si>
  <si>
    <t>007818.OF</t>
  </si>
  <si>
    <t>国泰中证全指通信设备ETF联接C</t>
  </si>
  <si>
    <t>85897.32</t>
  </si>
  <si>
    <t>008701.OF</t>
  </si>
  <si>
    <t>华夏黄金ETF联接A</t>
  </si>
  <si>
    <t>182156.66</t>
  </si>
  <si>
    <t>008702.OF</t>
  </si>
  <si>
    <t>华夏黄金ETF联接C</t>
  </si>
  <si>
    <t>182083.03</t>
  </si>
  <si>
    <t>019524.OF</t>
  </si>
  <si>
    <t>华泰柏瑞纳斯达克100ETF发起式联接(QDII)A</t>
  </si>
  <si>
    <t>198772.37</t>
  </si>
  <si>
    <t>018388.OF</t>
  </si>
  <si>
    <t>华泰柏瑞港股通红利ETF联接基金C</t>
  </si>
  <si>
    <t>249891.28</t>
  </si>
  <si>
    <t>160424.OF</t>
  </si>
  <si>
    <t>华安创业板50ETF联接C</t>
  </si>
  <si>
    <t>106497.91</t>
  </si>
  <si>
    <t>007466.OF</t>
  </si>
  <si>
    <t>华泰柏瑞中证红利低波ETF联接A</t>
  </si>
  <si>
    <t>206225.58</t>
  </si>
  <si>
    <t>110020.OF</t>
  </si>
  <si>
    <t>易方达沪深300ETF联接A</t>
  </si>
  <si>
    <t>167269.02</t>
  </si>
  <si>
    <t>011609.OF</t>
  </si>
  <si>
    <t>易方达上证科创50联接C</t>
  </si>
  <si>
    <t>204135.36</t>
  </si>
  <si>
    <t>011613.OF</t>
  </si>
  <si>
    <t>华夏科创50ETF联接C</t>
  </si>
  <si>
    <t>192103.73</t>
  </si>
  <si>
    <t>006517.OF</t>
  </si>
  <si>
    <t>南方吉元短债A</t>
  </si>
  <si>
    <t>198240.66</t>
  </si>
  <si>
    <t>022500.OF</t>
  </si>
  <si>
    <t>国泰中证全指通信设备ETF联接E</t>
  </si>
  <si>
    <t>39590.57</t>
  </si>
  <si>
    <t>115640.86</t>
  </si>
  <si>
    <t>021142.OF</t>
  </si>
  <si>
    <t>华夏港股通央企红利ETF联接A</t>
  </si>
  <si>
    <t>109806.69</t>
  </si>
  <si>
    <t>92921.06</t>
  </si>
  <si>
    <t>022726.OF</t>
  </si>
  <si>
    <t>博时上证科创板芯片ETF发起式联接C</t>
  </si>
  <si>
    <t>61753.30</t>
  </si>
  <si>
    <t>024263.OF</t>
  </si>
  <si>
    <t>华夏中证红利质量ETF发起式联接D</t>
  </si>
  <si>
    <t>119611.71</t>
  </si>
  <si>
    <t>022742.OF</t>
  </si>
  <si>
    <t>华泰柏瑞中证A500ETF联接I</t>
  </si>
  <si>
    <t>98287.96</t>
  </si>
  <si>
    <t>40354.00</t>
  </si>
  <si>
    <t>79198.77</t>
  </si>
  <si>
    <t>015311.OF</t>
  </si>
  <si>
    <t>华泰柏瑞恒生科技ETF联接(QDII)C</t>
  </si>
  <si>
    <t>72976.72</t>
  </si>
  <si>
    <t>70088.59</t>
  </si>
  <si>
    <t>20355.83</t>
  </si>
  <si>
    <t>36386.22</t>
  </si>
  <si>
    <t>007339.OF</t>
  </si>
  <si>
    <t>易方达沪深300ETF联接C</t>
  </si>
  <si>
    <t>26577.73</t>
  </si>
  <si>
    <t>014856.OF</t>
  </si>
  <si>
    <t>建信鑫享短债债券A</t>
  </si>
  <si>
    <t>42112.79</t>
  </si>
  <si>
    <t>20000.00</t>
  </si>
  <si>
    <t>160624.OF</t>
  </si>
  <si>
    <t>鹏华消费领先混合</t>
  </si>
  <si>
    <t>9641.03</t>
  </si>
  <si>
    <t>159326.SZ</t>
  </si>
  <si>
    <t>电网设备ETF华夏</t>
  </si>
  <si>
    <t>15700.00</t>
  </si>
  <si>
    <t>159870.SZ</t>
  </si>
  <si>
    <t>化工ETF鹏华</t>
  </si>
  <si>
    <t>40300.00</t>
  </si>
  <si>
    <t>007722.OF</t>
  </si>
  <si>
    <t>天弘标普500发起(QDII-FOF)C</t>
  </si>
  <si>
    <t>14173.18</t>
  </si>
  <si>
    <t>14180.92</t>
  </si>
  <si>
    <t>019525.OF</t>
  </si>
  <si>
    <t>华泰柏瑞纳斯达克100ETF发起式联接(QDII)C</t>
  </si>
  <si>
    <t>15810.80</t>
  </si>
  <si>
    <t>18571.99</t>
  </si>
  <si>
    <t>13312.03</t>
  </si>
  <si>
    <t>006479.OF</t>
  </si>
  <si>
    <t>广发纳斯达克100ETF联接人民币(QDII)C</t>
  </si>
  <si>
    <t>3036.44</t>
  </si>
  <si>
    <t>771.81</t>
  </si>
  <si>
    <t>002611.OF</t>
  </si>
  <si>
    <t>博时黄金ETF联接C</t>
  </si>
  <si>
    <t>5.49</t>
  </si>
  <si>
    <t>GOOGL</t>
    <phoneticPr fontId="1" type="noConversion"/>
  </si>
  <si>
    <t>NVDA</t>
    <phoneticPr fontId="1" type="noConversion"/>
  </si>
  <si>
    <t>SNDK</t>
    <phoneticPr fontId="1" type="noConversion"/>
  </si>
  <si>
    <t>INTC</t>
    <phoneticPr fontId="1" type="noConversion"/>
  </si>
  <si>
    <t>QQQ</t>
    <phoneticPr fontId="1" type="noConversion"/>
  </si>
  <si>
    <t>Intel Corporation</t>
    <phoneticPr fontId="1" type="noConversion"/>
  </si>
  <si>
    <t>NVIDIA Corp</t>
    <phoneticPr fontId="1" type="noConversion"/>
  </si>
  <si>
    <t>Alphabet Inc (Class A)</t>
    <phoneticPr fontId="1" type="noConversion"/>
  </si>
  <si>
    <t>Sandisk Corporation</t>
    <phoneticPr fontId="1" type="noConversion"/>
  </si>
  <si>
    <t>Invesco QQQ Trust_Series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</si>
</sst>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D2" sqref="D2"/>
    </sheetView>
  </sheetViews>
  <sheetFormatPr defaultColWidth="11" defaultRowHeight="15.75" x14ac:dyDescent="0.4"/>
  <cols>
    <col min="1" max="1" width="15.8125" customWidth="1"/>
    <col min="2" max="2" width="44.3125" bestFit="1" customWidth="1"/>
    <col min="3" max="3" width="12.8125" customWidth="1"/>
  </cols>
  <sheetData>
    <row r="1" spans="1:4" x14ac:dyDescent="0.4">
      <c r="A1" t="s">
        <v>0</v>
      </c>
    </row>
    <row r="2" spans="1:4" x14ac:dyDescent="0.4">
      <c r="A2" t="s">
        <v>1</v>
      </c>
      <c r="B2" t="s">
        <v>2</v>
      </c>
      <c r="C2" t="s">
        <v>3</v>
      </c>
      <c r="D2" t="s">
        <v>3</v>
      </c>
    </row>
    <row r="3" spans="1:4" x14ac:dyDescent="0.4">
      <c r="A3" t="s">
        <v>4</v>
      </c>
      <c r="B3" t="s">
        <v>5</v>
      </c>
      <c r="C3" t="s">
        <v>6</v>
      </c>
      <c r="D3">
        <f>C3+0</f>
        <v>472421.76</v>
      </c>
    </row>
    <row r="4" spans="1:4" x14ac:dyDescent="0.4">
      <c r="A4" t="s">
        <v>7</v>
      </c>
      <c r="B4" t="s">
        <v>8</v>
      </c>
      <c r="C4" t="s">
        <v>9</v>
      </c>
      <c r="D4">
        <f t="shared" ref="D4:D41" si="0">C4+0</f>
        <v>85897.32</v>
      </c>
    </row>
    <row r="5" spans="1:4" x14ac:dyDescent="0.4">
      <c r="A5" t="s">
        <v>10</v>
      </c>
      <c r="B5" t="s">
        <v>11</v>
      </c>
      <c r="C5" t="s">
        <v>12</v>
      </c>
      <c r="D5">
        <f t="shared" si="0"/>
        <v>182156.66</v>
      </c>
    </row>
    <row r="6" spans="1:4" x14ac:dyDescent="0.4">
      <c r="A6" t="s">
        <v>13</v>
      </c>
      <c r="B6" t="s">
        <v>14</v>
      </c>
      <c r="C6" t="s">
        <v>15</v>
      </c>
      <c r="D6">
        <f t="shared" si="0"/>
        <v>182083.03</v>
      </c>
    </row>
    <row r="7" spans="1:4" x14ac:dyDescent="0.4">
      <c r="A7" t="s">
        <v>16</v>
      </c>
      <c r="B7" t="s">
        <v>17</v>
      </c>
      <c r="C7" t="s">
        <v>18</v>
      </c>
      <c r="D7">
        <f t="shared" si="0"/>
        <v>198772.37</v>
      </c>
    </row>
    <row r="8" spans="1:4" x14ac:dyDescent="0.4">
      <c r="A8" t="s">
        <v>19</v>
      </c>
      <c r="B8" t="s">
        <v>20</v>
      </c>
      <c r="C8" t="s">
        <v>21</v>
      </c>
      <c r="D8">
        <f t="shared" si="0"/>
        <v>249891.28</v>
      </c>
    </row>
    <row r="9" spans="1:4" x14ac:dyDescent="0.4">
      <c r="A9" t="s">
        <v>22</v>
      </c>
      <c r="B9" t="s">
        <v>23</v>
      </c>
      <c r="C9" t="s">
        <v>24</v>
      </c>
      <c r="D9">
        <f t="shared" si="0"/>
        <v>106497.91</v>
      </c>
    </row>
    <row r="10" spans="1:4" x14ac:dyDescent="0.4">
      <c r="A10" t="s">
        <v>25</v>
      </c>
      <c r="B10" t="s">
        <v>26</v>
      </c>
      <c r="C10" t="s">
        <v>27</v>
      </c>
      <c r="D10">
        <f t="shared" si="0"/>
        <v>206225.58</v>
      </c>
    </row>
    <row r="11" spans="1:4" x14ac:dyDescent="0.4">
      <c r="A11" t="s">
        <v>28</v>
      </c>
      <c r="B11" t="s">
        <v>29</v>
      </c>
      <c r="C11" t="s">
        <v>30</v>
      </c>
      <c r="D11">
        <f t="shared" si="0"/>
        <v>167269.01999999999</v>
      </c>
    </row>
    <row r="12" spans="1:4" x14ac:dyDescent="0.4">
      <c r="A12" t="s">
        <v>31</v>
      </c>
      <c r="B12" t="s">
        <v>32</v>
      </c>
      <c r="C12" t="s">
        <v>33</v>
      </c>
      <c r="D12">
        <f t="shared" si="0"/>
        <v>204135.36</v>
      </c>
    </row>
    <row r="13" spans="1:4" x14ac:dyDescent="0.4">
      <c r="A13" t="s">
        <v>34</v>
      </c>
      <c r="B13" t="s">
        <v>35</v>
      </c>
      <c r="C13" t="s">
        <v>36</v>
      </c>
      <c r="D13">
        <f t="shared" si="0"/>
        <v>192103.73</v>
      </c>
    </row>
    <row r="14" spans="1:4" x14ac:dyDescent="0.4">
      <c r="A14" t="s">
        <v>37</v>
      </c>
      <c r="B14" t="s">
        <v>38</v>
      </c>
      <c r="C14" t="s">
        <v>39</v>
      </c>
      <c r="D14">
        <f t="shared" si="0"/>
        <v>198240.66</v>
      </c>
    </row>
    <row r="15" spans="1:4" x14ac:dyDescent="0.4">
      <c r="A15" t="s">
        <v>40</v>
      </c>
      <c r="B15" t="s">
        <v>41</v>
      </c>
      <c r="C15" t="s">
        <v>42</v>
      </c>
      <c r="D15">
        <f t="shared" si="0"/>
        <v>39590.57</v>
      </c>
    </row>
    <row r="16" spans="1:4" x14ac:dyDescent="0.4">
      <c r="A16" t="s">
        <v>25</v>
      </c>
      <c r="B16" t="s">
        <v>26</v>
      </c>
      <c r="C16" t="s">
        <v>43</v>
      </c>
      <c r="D16">
        <f t="shared" si="0"/>
        <v>115640.86</v>
      </c>
    </row>
    <row r="17" spans="1:4" x14ac:dyDescent="0.4">
      <c r="A17" t="s">
        <v>44</v>
      </c>
      <c r="B17" t="s">
        <v>45</v>
      </c>
      <c r="C17" t="s">
        <v>46</v>
      </c>
      <c r="D17">
        <f t="shared" si="0"/>
        <v>109806.69</v>
      </c>
    </row>
    <row r="18" spans="1:4" x14ac:dyDescent="0.4">
      <c r="A18" t="s">
        <v>25</v>
      </c>
      <c r="B18" t="s">
        <v>26</v>
      </c>
      <c r="C18" t="s">
        <v>47</v>
      </c>
      <c r="D18">
        <f t="shared" si="0"/>
        <v>92921.06</v>
      </c>
    </row>
    <row r="19" spans="1:4" x14ac:dyDescent="0.4">
      <c r="A19" t="s">
        <v>48</v>
      </c>
      <c r="B19" t="s">
        <v>49</v>
      </c>
      <c r="C19" t="s">
        <v>50</v>
      </c>
      <c r="D19">
        <f t="shared" si="0"/>
        <v>61753.3</v>
      </c>
    </row>
    <row r="20" spans="1:4" x14ac:dyDescent="0.4">
      <c r="A20" t="s">
        <v>51</v>
      </c>
      <c r="B20" t="s">
        <v>52</v>
      </c>
      <c r="C20" t="s">
        <v>53</v>
      </c>
      <c r="D20">
        <f t="shared" si="0"/>
        <v>119611.71</v>
      </c>
    </row>
    <row r="21" spans="1:4" x14ac:dyDescent="0.4">
      <c r="A21" t="s">
        <v>54</v>
      </c>
      <c r="B21" t="s">
        <v>55</v>
      </c>
      <c r="C21" t="s">
        <v>56</v>
      </c>
      <c r="D21">
        <f t="shared" si="0"/>
        <v>98287.96</v>
      </c>
    </row>
    <row r="22" spans="1:4" x14ac:dyDescent="0.4">
      <c r="A22" t="s">
        <v>22</v>
      </c>
      <c r="B22" t="s">
        <v>23</v>
      </c>
      <c r="C22" t="s">
        <v>57</v>
      </c>
      <c r="D22">
        <f t="shared" si="0"/>
        <v>40354</v>
      </c>
    </row>
    <row r="23" spans="1:4" x14ac:dyDescent="0.4">
      <c r="A23" t="s">
        <v>51</v>
      </c>
      <c r="B23" t="s">
        <v>52</v>
      </c>
      <c r="C23" t="s">
        <v>58</v>
      </c>
      <c r="D23">
        <f t="shared" si="0"/>
        <v>79198.77</v>
      </c>
    </row>
    <row r="24" spans="1:4" x14ac:dyDescent="0.4">
      <c r="A24" t="s">
        <v>59</v>
      </c>
      <c r="B24" t="s">
        <v>60</v>
      </c>
      <c r="C24" t="s">
        <v>61</v>
      </c>
      <c r="D24">
        <f t="shared" si="0"/>
        <v>72976.72</v>
      </c>
    </row>
    <row r="25" spans="1:4" x14ac:dyDescent="0.4">
      <c r="A25" t="s">
        <v>59</v>
      </c>
      <c r="B25" t="s">
        <v>60</v>
      </c>
      <c r="C25" t="s">
        <v>62</v>
      </c>
      <c r="D25">
        <f t="shared" si="0"/>
        <v>70088.59</v>
      </c>
    </row>
    <row r="26" spans="1:4" x14ac:dyDescent="0.4">
      <c r="A26" t="s">
        <v>22</v>
      </c>
      <c r="B26" t="s">
        <v>23</v>
      </c>
      <c r="C26" t="s">
        <v>63</v>
      </c>
      <c r="D26">
        <f t="shared" si="0"/>
        <v>20355.830000000002</v>
      </c>
    </row>
    <row r="27" spans="1:4" x14ac:dyDescent="0.4">
      <c r="A27" t="s">
        <v>16</v>
      </c>
      <c r="B27" t="s">
        <v>17</v>
      </c>
      <c r="C27" t="s">
        <v>64</v>
      </c>
      <c r="D27">
        <f t="shared" si="0"/>
        <v>36386.22</v>
      </c>
    </row>
    <row r="28" spans="1:4" x14ac:dyDescent="0.4">
      <c r="A28" t="s">
        <v>65</v>
      </c>
      <c r="B28" t="s">
        <v>66</v>
      </c>
      <c r="C28" t="s">
        <v>67</v>
      </c>
      <c r="D28">
        <f t="shared" si="0"/>
        <v>26577.73</v>
      </c>
    </row>
    <row r="29" spans="1:4" x14ac:dyDescent="0.4">
      <c r="A29" t="s">
        <v>68</v>
      </c>
      <c r="B29" t="s">
        <v>69</v>
      </c>
      <c r="C29" t="s">
        <v>70</v>
      </c>
      <c r="D29">
        <f t="shared" si="0"/>
        <v>42112.79</v>
      </c>
    </row>
    <row r="30" spans="1:4" x14ac:dyDescent="0.4">
      <c r="A30" t="s">
        <v>65</v>
      </c>
      <c r="B30" t="s">
        <v>66</v>
      </c>
      <c r="C30" t="s">
        <v>71</v>
      </c>
      <c r="D30">
        <f t="shared" si="0"/>
        <v>20000</v>
      </c>
    </row>
    <row r="31" spans="1:4" x14ac:dyDescent="0.4">
      <c r="A31" t="s">
        <v>72</v>
      </c>
      <c r="B31" t="s">
        <v>73</v>
      </c>
      <c r="C31" t="s">
        <v>74</v>
      </c>
      <c r="D31">
        <f t="shared" si="0"/>
        <v>9641.0300000000007</v>
      </c>
    </row>
    <row r="32" spans="1:4" x14ac:dyDescent="0.4">
      <c r="A32" t="s">
        <v>75</v>
      </c>
      <c r="B32" t="s">
        <v>76</v>
      </c>
      <c r="C32" t="s">
        <v>77</v>
      </c>
      <c r="D32">
        <f t="shared" si="0"/>
        <v>15700</v>
      </c>
    </row>
    <row r="33" spans="1:4" x14ac:dyDescent="0.4">
      <c r="A33" t="s">
        <v>78</v>
      </c>
      <c r="B33" t="s">
        <v>79</v>
      </c>
      <c r="C33" t="s">
        <v>80</v>
      </c>
      <c r="D33">
        <f t="shared" si="0"/>
        <v>40300</v>
      </c>
    </row>
    <row r="34" spans="1:4" x14ac:dyDescent="0.4">
      <c r="A34" t="s">
        <v>81</v>
      </c>
      <c r="B34" t="s">
        <v>82</v>
      </c>
      <c r="C34" t="s">
        <v>83</v>
      </c>
      <c r="D34">
        <f t="shared" si="0"/>
        <v>14173.18</v>
      </c>
    </row>
    <row r="35" spans="1:4" x14ac:dyDescent="0.4">
      <c r="A35" t="s">
        <v>10</v>
      </c>
      <c r="B35" t="s">
        <v>11</v>
      </c>
      <c r="C35" t="s">
        <v>84</v>
      </c>
      <c r="D35">
        <f t="shared" si="0"/>
        <v>14180.92</v>
      </c>
    </row>
    <row r="36" spans="1:4" x14ac:dyDescent="0.4">
      <c r="A36" t="s">
        <v>85</v>
      </c>
      <c r="B36" t="s">
        <v>86</v>
      </c>
      <c r="C36" t="s">
        <v>87</v>
      </c>
      <c r="D36">
        <f t="shared" si="0"/>
        <v>15810.8</v>
      </c>
    </row>
    <row r="37" spans="1:4" x14ac:dyDescent="0.4">
      <c r="A37" t="s">
        <v>44</v>
      </c>
      <c r="B37" t="s">
        <v>45</v>
      </c>
      <c r="C37" t="s">
        <v>88</v>
      </c>
      <c r="D37">
        <f t="shared" si="0"/>
        <v>18571.990000000002</v>
      </c>
    </row>
    <row r="38" spans="1:4" x14ac:dyDescent="0.4">
      <c r="A38" t="s">
        <v>28</v>
      </c>
      <c r="B38" t="s">
        <v>29</v>
      </c>
      <c r="C38" t="s">
        <v>89</v>
      </c>
      <c r="D38">
        <f t="shared" si="0"/>
        <v>13312.03</v>
      </c>
    </row>
    <row r="39" spans="1:4" x14ac:dyDescent="0.4">
      <c r="A39" t="s">
        <v>90</v>
      </c>
      <c r="B39" t="s">
        <v>91</v>
      </c>
      <c r="C39" t="s">
        <v>92</v>
      </c>
      <c r="D39">
        <f t="shared" si="0"/>
        <v>3036.44</v>
      </c>
    </row>
    <row r="40" spans="1:4" x14ac:dyDescent="0.4">
      <c r="A40" t="s">
        <v>16</v>
      </c>
      <c r="B40" t="s">
        <v>17</v>
      </c>
      <c r="C40" t="s">
        <v>93</v>
      </c>
      <c r="D40">
        <f t="shared" si="0"/>
        <v>771.81</v>
      </c>
    </row>
    <row r="41" spans="1:4" x14ac:dyDescent="0.4">
      <c r="A41" t="s">
        <v>94</v>
      </c>
      <c r="B41" t="s">
        <v>95</v>
      </c>
      <c r="C41" t="s">
        <v>96</v>
      </c>
      <c r="D41">
        <f t="shared" si="0"/>
        <v>5.49</v>
      </c>
    </row>
    <row r="43" spans="1:4" x14ac:dyDescent="0.4">
      <c r="A43" t="s">
        <v>97</v>
      </c>
      <c r="B43" t="s">
        <v>104</v>
      </c>
      <c r="C43">
        <v>20</v>
      </c>
    </row>
    <row r="44" spans="1:4" x14ac:dyDescent="0.4">
      <c r="A44" t="s">
        <v>98</v>
      </c>
      <c r="B44" t="s">
        <v>103</v>
      </c>
      <c r="C44">
        <v>30</v>
      </c>
    </row>
    <row r="45" spans="1:4" x14ac:dyDescent="0.4">
      <c r="A45" t="s">
        <v>99</v>
      </c>
      <c r="B45" t="s">
        <v>105</v>
      </c>
      <c r="C45">
        <v>3</v>
      </c>
    </row>
    <row r="46" spans="1:4" x14ac:dyDescent="0.4">
      <c r="A46" t="s">
        <v>100</v>
      </c>
      <c r="B46" t="s">
        <v>102</v>
      </c>
      <c r="C46">
        <v>10</v>
      </c>
    </row>
    <row r="47" spans="1:4" x14ac:dyDescent="0.4">
      <c r="A47" t="s">
        <v>101</v>
      </c>
      <c r="B47" t="s">
        <v>106</v>
      </c>
      <c r="C47">
        <v>14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B29 C1:C29 A30:B31 C30:C31 A32:B39 C32:C39 A40:B41 C40:C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持仓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朋 詹</cp:lastModifiedBy>
  <dcterms:modified xsi:type="dcterms:W3CDTF">2026-06-11T06:19:21Z</dcterms:modified>
</cp:coreProperties>
</file>